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1" sheetId="1" state="visible" r:id="rId1"/>
    <sheet xmlns:r="http://schemas.openxmlformats.org/officeDocument/2006/relationships" name="F2" sheetId="2" state="visible" r:id="rId2"/>
    <sheet xmlns:r="http://schemas.openxmlformats.org/officeDocument/2006/relationships" name="F3" sheetId="3" state="visible" r:id="rId3"/>
    <sheet xmlns:r="http://schemas.openxmlformats.org/officeDocument/2006/relationships" name="F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Curva de sobrevivencia (recuperacao) — Familia F1</a:t>
            </a:r>
          </a:p>
        </rich>
      </tx>
    </title>
    <plotArea>
      <scatterChart>
        <ser>
          <idx val="0"/>
          <order val="0"/>
          <tx>
            <v>A - Controle</v>
          </tx>
          <spPr>
            <a:ln xmlns:a="http://schemas.openxmlformats.org/drawingml/2006/main">
              <a:solidFill>
                <a:srgbClr val="1F77B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1F77B4"/>
              </a:solidFill>
              <a:ln xmlns:a="http://schemas.openxmlformats.org/drawingml/2006/main">
                <a:prstDash val="solid"/>
              </a:ln>
            </spPr>
          </marker>
          <xVal>
            <numRef>
              <f>'F1'!$A$38:$A$39</f>
            </numRef>
          </xVal>
          <yVal>
            <numRef>
              <f>'F1'!$B$38:$B$39</f>
            </numRef>
          </yVal>
          <smooth val="0"/>
        </ser>
        <ser>
          <idx val="1"/>
          <order val="1"/>
          <tx>
            <v>B - Decisao por LLM</v>
          </tx>
          <spPr>
            <a:ln xmlns:a="http://schemas.openxmlformats.org/drawingml/2006/main">
              <a:solidFill>
                <a:srgbClr val="D62728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D62728"/>
              </a:solidFill>
              <a:ln xmlns:a="http://schemas.openxmlformats.org/drawingml/2006/main">
                <a:prstDash val="solid"/>
              </a:ln>
            </spPr>
          </marker>
          <xVal>
            <numRef>
              <f>'F1'!$E$38:$E$39</f>
            </numRef>
          </xVal>
          <yVal>
            <numRef>
              <f>'F1'!$F$38:$F$39</f>
            </numRef>
          </yVal>
          <smooth val="0"/>
        </ser>
        <ser>
          <idx val="2"/>
          <order val="2"/>
          <tx>
            <v>C - Decisao por tabela de regras</v>
          </tx>
          <spPr>
            <a:ln xmlns:a="http://schemas.openxmlformats.org/drawingml/2006/main">
              <a:solidFill>
                <a:srgbClr val="2CA02C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2CA02C"/>
              </a:solidFill>
              <a:ln xmlns:a="http://schemas.openxmlformats.org/drawingml/2006/main">
                <a:prstDash val="solid"/>
              </a:ln>
            </spPr>
          </marker>
          <xVal>
            <numRef>
              <f>'F1'!$I$38:$I$39</f>
            </numRef>
          </xVal>
          <yVal>
            <numRef>
              <f>'F1'!$J$38:$J$39</f>
            </numRef>
          </yVal>
          <smooth val="0"/>
        </ser>
        <axId val="10"/>
        <axId val="20"/>
      </scatterChart>
      <valAx>
        <axId val="10"/>
        <scaling>
          <orientation val="minMax"/>
          <max val="6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Tempo desde o onset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S(t) — probabilidade de nao ter recuperado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Curva de sobrevivencia (recuperacao) — Familia F2</a:t>
            </a:r>
          </a:p>
        </rich>
      </tx>
    </title>
    <plotArea>
      <scatterChart>
        <ser>
          <idx val="0"/>
          <order val="0"/>
          <tx>
            <v>A - Controle</v>
          </tx>
          <spPr>
            <a:ln xmlns:a="http://schemas.openxmlformats.org/drawingml/2006/main">
              <a:solidFill>
                <a:srgbClr val="1F77B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1F77B4"/>
              </a:solidFill>
              <a:ln xmlns:a="http://schemas.openxmlformats.org/drawingml/2006/main">
                <a:prstDash val="solid"/>
              </a:ln>
            </spPr>
          </marker>
          <xVal>
            <numRef>
              <f>'F2'!$A$38:$A$49</f>
            </numRef>
          </xVal>
          <yVal>
            <numRef>
              <f>'F2'!$B$38:$B$49</f>
            </numRef>
          </yVal>
          <smooth val="0"/>
        </ser>
        <ser>
          <idx val="1"/>
          <order val="1"/>
          <tx>
            <v>B - Decisao por LLM</v>
          </tx>
          <spPr>
            <a:ln xmlns:a="http://schemas.openxmlformats.org/drawingml/2006/main">
              <a:solidFill>
                <a:srgbClr val="D62728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D62728"/>
              </a:solidFill>
              <a:ln xmlns:a="http://schemas.openxmlformats.org/drawingml/2006/main">
                <a:prstDash val="solid"/>
              </a:ln>
            </spPr>
          </marker>
          <xVal>
            <numRef>
              <f>'F2'!$E$38:$E$45</f>
            </numRef>
          </xVal>
          <yVal>
            <numRef>
              <f>'F2'!$F$38:$F$45</f>
            </numRef>
          </yVal>
          <smooth val="0"/>
        </ser>
        <ser>
          <idx val="2"/>
          <order val="2"/>
          <tx>
            <v>C - Decisao por tabela de regras</v>
          </tx>
          <spPr>
            <a:ln xmlns:a="http://schemas.openxmlformats.org/drawingml/2006/main">
              <a:solidFill>
                <a:srgbClr val="2CA02C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2CA02C"/>
              </a:solidFill>
              <a:ln xmlns:a="http://schemas.openxmlformats.org/drawingml/2006/main">
                <a:prstDash val="solid"/>
              </a:ln>
            </spPr>
          </marker>
          <xVal>
            <numRef>
              <f>'F2'!$I$38:$I$49</f>
            </numRef>
          </xVal>
          <yVal>
            <numRef>
              <f>'F2'!$J$38:$J$49</f>
            </numRef>
          </yVal>
          <smooth val="0"/>
        </ser>
        <axId val="10"/>
        <axId val="20"/>
      </scatterChart>
      <valAx>
        <axId val="10"/>
        <scaling>
          <orientation val="minMax"/>
          <max val="6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Tempo desde o onset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S(t) — probabilidade de nao ter recuperado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Curva de sobrevivencia (recuperacao) — Familia F3</a:t>
            </a:r>
          </a:p>
        </rich>
      </tx>
    </title>
    <plotArea>
      <scatterChart>
        <ser>
          <idx val="0"/>
          <order val="0"/>
          <tx>
            <v>A - Controle</v>
          </tx>
          <spPr>
            <a:ln xmlns:a="http://schemas.openxmlformats.org/drawingml/2006/main">
              <a:solidFill>
                <a:srgbClr val="1F77B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1F77B4"/>
              </a:solidFill>
              <a:ln xmlns:a="http://schemas.openxmlformats.org/drawingml/2006/main">
                <a:prstDash val="solid"/>
              </a:ln>
            </spPr>
          </marker>
          <xVal>
            <numRef>
              <f>'F3'!$A$38:$A$39</f>
            </numRef>
          </xVal>
          <yVal>
            <numRef>
              <f>'F3'!$B$38:$B$39</f>
            </numRef>
          </yVal>
          <smooth val="0"/>
        </ser>
        <ser>
          <idx val="1"/>
          <order val="1"/>
          <tx>
            <v>B - Decisao por LLM</v>
          </tx>
          <spPr>
            <a:ln xmlns:a="http://schemas.openxmlformats.org/drawingml/2006/main">
              <a:solidFill>
                <a:srgbClr val="D62728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D62728"/>
              </a:solidFill>
              <a:ln xmlns:a="http://schemas.openxmlformats.org/drawingml/2006/main">
                <a:prstDash val="solid"/>
              </a:ln>
            </spPr>
          </marker>
          <xVal>
            <numRef>
              <f>'F3'!$E$38:$E$39</f>
            </numRef>
          </xVal>
          <yVal>
            <numRef>
              <f>'F3'!$F$38:$F$39</f>
            </numRef>
          </yVal>
          <smooth val="0"/>
        </ser>
        <ser>
          <idx val="2"/>
          <order val="2"/>
          <tx>
            <v>C - Decisao por tabela de regras</v>
          </tx>
          <spPr>
            <a:ln xmlns:a="http://schemas.openxmlformats.org/drawingml/2006/main">
              <a:solidFill>
                <a:srgbClr val="2CA02C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2CA02C"/>
              </a:solidFill>
              <a:ln xmlns:a="http://schemas.openxmlformats.org/drawingml/2006/main">
                <a:prstDash val="solid"/>
              </a:ln>
            </spPr>
          </marker>
          <xVal>
            <numRef>
              <f>'F3'!$I$38:$I$39</f>
            </numRef>
          </xVal>
          <yVal>
            <numRef>
              <f>'F3'!$J$38:$J$39</f>
            </numRef>
          </yVal>
          <smooth val="0"/>
        </ser>
        <axId val="10"/>
        <axId val="20"/>
      </scatterChart>
      <valAx>
        <axId val="10"/>
        <scaling>
          <orientation val="minMax"/>
          <max val="6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Tempo desde o onset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S(t) — probabilidade de nao ter recuperado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Curva de sobrevivencia (recuperacao) — Familia F5</a:t>
            </a:r>
          </a:p>
        </rich>
      </tx>
    </title>
    <plotArea>
      <scatterChart>
        <ser>
          <idx val="0"/>
          <order val="0"/>
          <tx>
            <v>A - Controle</v>
          </tx>
          <spPr>
            <a:ln xmlns:a="http://schemas.openxmlformats.org/drawingml/2006/main">
              <a:solidFill>
                <a:srgbClr val="1F77B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1F77B4"/>
              </a:solidFill>
              <a:ln xmlns:a="http://schemas.openxmlformats.org/drawingml/2006/main">
                <a:prstDash val="solid"/>
              </a:ln>
            </spPr>
          </marker>
          <xVal>
            <numRef>
              <f>'F5'!$A$38:$A$43</f>
            </numRef>
          </xVal>
          <yVal>
            <numRef>
              <f>'F5'!$B$38:$B$43</f>
            </numRef>
          </yVal>
          <smooth val="0"/>
        </ser>
        <ser>
          <idx val="1"/>
          <order val="1"/>
          <tx>
            <v>B - Decisao por LLM</v>
          </tx>
          <spPr>
            <a:ln xmlns:a="http://schemas.openxmlformats.org/drawingml/2006/main">
              <a:solidFill>
                <a:srgbClr val="D62728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D62728"/>
              </a:solidFill>
              <a:ln xmlns:a="http://schemas.openxmlformats.org/drawingml/2006/main">
                <a:prstDash val="solid"/>
              </a:ln>
            </spPr>
          </marker>
          <xVal>
            <numRef>
              <f>'F5'!$E$38:$E$45</f>
            </numRef>
          </xVal>
          <yVal>
            <numRef>
              <f>'F5'!$F$38:$F$45</f>
            </numRef>
          </yVal>
          <smooth val="0"/>
        </ser>
        <ser>
          <idx val="2"/>
          <order val="2"/>
          <tx>
            <v>C - Decisao por tabela de regras</v>
          </tx>
          <spPr>
            <a:ln xmlns:a="http://schemas.openxmlformats.org/drawingml/2006/main">
              <a:solidFill>
                <a:srgbClr val="2CA02C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2CA02C"/>
              </a:solidFill>
              <a:ln xmlns:a="http://schemas.openxmlformats.org/drawingml/2006/main">
                <a:prstDash val="solid"/>
              </a:ln>
            </spPr>
          </marker>
          <xVal>
            <numRef>
              <f>'F5'!$I$38:$I$43</f>
            </numRef>
          </xVal>
          <yVal>
            <numRef>
              <f>'F5'!$J$38:$J$43</f>
            </numRef>
          </yVal>
          <smooth val="0"/>
        </ser>
        <axId val="10"/>
        <axId val="20"/>
      </scatterChart>
      <valAx>
        <axId val="10"/>
        <scaling>
          <orientation val="minMax"/>
          <max val="6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Tempo desde o onset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S(t) — probabilidade de nao ter recuperado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3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14</col>
      <colOff>0</colOff>
      <row>3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14</col>
      <colOff>0</colOff>
      <row>3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14</col>
      <colOff>0</colOff>
      <row>3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0"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Dados de sobrevivencia — familia de falha F1</t>
        </is>
      </c>
    </row>
    <row r="2">
      <c r="A2" s="2" t="inlineStr">
        <is>
          <t>Fonte: tools/analysis/data/labeled-runs.csv (tempo_ate_recuperacao_segundos, evento_observado). Dados nao alterados.</t>
        </is>
      </c>
    </row>
    <row r="4">
      <c r="A4" s="3" t="inlineStr">
        <is>
          <t>Dados brutos por braco</t>
        </is>
      </c>
    </row>
    <row r="5">
      <c r="A5" s="4" t="inlineStr">
        <is>
          <t>A tempo_s</t>
        </is>
      </c>
      <c r="B5" s="4" t="inlineStr">
        <is>
          <t>A evento</t>
        </is>
      </c>
      <c r="D5" s="4" t="inlineStr">
        <is>
          <t>B tempo_s</t>
        </is>
      </c>
      <c r="E5" s="4" t="inlineStr">
        <is>
          <t>B evento</t>
        </is>
      </c>
      <c r="G5" s="4" t="inlineStr">
        <is>
          <t>C tempo_s</t>
        </is>
      </c>
      <c r="H5" s="4" t="inlineStr">
        <is>
          <t>C evento</t>
        </is>
      </c>
    </row>
    <row r="6">
      <c r="A6" s="5" t="n">
        <v>600</v>
      </c>
      <c r="B6" s="5" t="n">
        <v>0</v>
      </c>
      <c r="D6" s="5" t="n">
        <v>600</v>
      </c>
      <c r="E6" s="5" t="n">
        <v>0</v>
      </c>
      <c r="G6" s="5" t="n">
        <v>600</v>
      </c>
      <c r="H6" s="5" t="n">
        <v>0</v>
      </c>
    </row>
    <row r="7">
      <c r="A7" s="5" t="n">
        <v>600</v>
      </c>
      <c r="B7" s="5" t="n">
        <v>0</v>
      </c>
      <c r="D7" s="5" t="n">
        <v>600</v>
      </c>
      <c r="E7" s="5" t="n">
        <v>0</v>
      </c>
      <c r="G7" s="5" t="n">
        <v>600</v>
      </c>
      <c r="H7" s="5" t="n">
        <v>0</v>
      </c>
    </row>
    <row r="8">
      <c r="A8" s="5" t="n">
        <v>600</v>
      </c>
      <c r="B8" s="5" t="n">
        <v>0</v>
      </c>
      <c r="D8" s="5" t="n">
        <v>600</v>
      </c>
      <c r="E8" s="5" t="n">
        <v>0</v>
      </c>
      <c r="G8" s="5" t="n">
        <v>600</v>
      </c>
      <c r="H8" s="5" t="n">
        <v>0</v>
      </c>
    </row>
    <row r="9">
      <c r="A9" s="5" t="n">
        <v>600</v>
      </c>
      <c r="B9" s="5" t="n">
        <v>0</v>
      </c>
      <c r="D9" s="5" t="n">
        <v>600</v>
      </c>
      <c r="E9" s="5" t="n">
        <v>0</v>
      </c>
      <c r="G9" s="5" t="n">
        <v>600</v>
      </c>
      <c r="H9" s="5" t="n">
        <v>0</v>
      </c>
    </row>
    <row r="10">
      <c r="A10" s="5" t="n">
        <v>600</v>
      </c>
      <c r="B10" s="5" t="n">
        <v>0</v>
      </c>
      <c r="D10" s="5" t="n">
        <v>600</v>
      </c>
      <c r="E10" s="5" t="n">
        <v>0</v>
      </c>
      <c r="G10" s="5" t="n">
        <v>600</v>
      </c>
      <c r="H10" s="5" t="n">
        <v>0</v>
      </c>
    </row>
    <row r="13">
      <c r="A13" s="3" t="inlineStr">
        <is>
          <t>Estimador de Kaplan-Meier por braco (produto-limite)</t>
        </is>
      </c>
    </row>
    <row r="14">
      <c r="A14" s="2" t="inlineStr">
        <is>
          <t>n_risco = execucoes com tempo &gt;= t ; d_eventos = recuperacoes exatamente em t ; S(t) = S(t anterior) x (1 - d_eventos/n_risco)</t>
        </is>
      </c>
    </row>
    <row r="16">
      <c r="A16" s="4" t="inlineStr">
        <is>
          <t>t (s)</t>
        </is>
      </c>
      <c r="B16" s="4" t="inlineStr">
        <is>
          <t>n_risco</t>
        </is>
      </c>
      <c r="C16" s="4" t="inlineStr">
        <is>
          <t>d_eventos</t>
        </is>
      </c>
      <c r="D16" s="4" t="inlineStr">
        <is>
          <t>S(t)</t>
        </is>
      </c>
      <c r="F16" s="4" t="inlineStr">
        <is>
          <t>t (s)</t>
        </is>
      </c>
      <c r="G16" s="4" t="inlineStr">
        <is>
          <t>n_risco</t>
        </is>
      </c>
      <c r="H16" s="4" t="inlineStr">
        <is>
          <t>d_eventos</t>
        </is>
      </c>
      <c r="I16" s="4" t="inlineStr">
        <is>
          <t>S(t)</t>
        </is>
      </c>
      <c r="K16" s="4" t="inlineStr">
        <is>
          <t>t (s)</t>
        </is>
      </c>
      <c r="L16" s="4" t="inlineStr">
        <is>
          <t>n_risco</t>
        </is>
      </c>
      <c r="M16" s="4" t="inlineStr">
        <is>
          <t>d_eventos</t>
        </is>
      </c>
      <c r="N16" s="4" t="inlineStr">
        <is>
          <t>S(t)</t>
        </is>
      </c>
    </row>
    <row r="17">
      <c r="A17" s="5" t="n">
        <v>0</v>
      </c>
      <c r="B17" s="5" t="n"/>
      <c r="C17" s="5" t="n"/>
      <c r="D17" s="5" t="n">
        <v>1</v>
      </c>
      <c r="F17" s="5" t="n">
        <v>0</v>
      </c>
      <c r="G17" s="5" t="n"/>
      <c r="H17" s="5" t="n"/>
      <c r="I17" s="5" t="n">
        <v>1</v>
      </c>
      <c r="K17" s="5" t="n">
        <v>0</v>
      </c>
      <c r="L17" s="5" t="n"/>
      <c r="M17" s="5" t="n"/>
      <c r="N17" s="5" t="n">
        <v>1</v>
      </c>
    </row>
    <row r="18">
      <c r="A18" s="5" t="n">
        <v>600</v>
      </c>
      <c r="B18" s="5" t="n"/>
      <c r="C18" s="5" t="n"/>
      <c r="D18" s="5">
        <f>D17</f>
        <v/>
      </c>
      <c r="F18" s="5" t="n">
        <v>600</v>
      </c>
      <c r="G18" s="5" t="n"/>
      <c r="H18" s="5" t="n"/>
      <c r="I18" s="5">
        <f>I17</f>
        <v/>
      </c>
      <c r="K18" s="5" t="n">
        <v>600</v>
      </c>
      <c r="L18" s="5" t="n"/>
      <c r="M18" s="5" t="n"/>
      <c r="N18" s="5">
        <f>N17</f>
        <v/>
      </c>
    </row>
    <row r="35">
      <c r="A35" s="3" t="inlineStr">
        <is>
          <t>Pontos para o grafico (escada) — cada valor referencia a tabela acima por formula</t>
        </is>
      </c>
    </row>
    <row r="37">
      <c r="A37" s="4" t="inlineStr">
        <is>
          <t>A t</t>
        </is>
      </c>
      <c r="B37" s="4" t="inlineStr">
        <is>
          <t>A S(t)</t>
        </is>
      </c>
      <c r="E37" s="4" t="inlineStr">
        <is>
          <t>B t</t>
        </is>
      </c>
      <c r="F37" s="4" t="inlineStr">
        <is>
          <t>B S(t)</t>
        </is>
      </c>
      <c r="I37" s="4" t="inlineStr">
        <is>
          <t>C t</t>
        </is>
      </c>
      <c r="J37" s="4" t="inlineStr">
        <is>
          <t>C S(t)</t>
        </is>
      </c>
    </row>
    <row r="38">
      <c r="A38" s="5">
        <f>A17</f>
        <v/>
      </c>
      <c r="B38" s="5">
        <f>D17</f>
        <v/>
      </c>
      <c r="E38" s="5">
        <f>F17</f>
        <v/>
      </c>
      <c r="F38" s="5">
        <f>I17</f>
        <v/>
      </c>
      <c r="I38" s="5">
        <f>K17</f>
        <v/>
      </c>
      <c r="J38" s="5">
        <f>N17</f>
        <v/>
      </c>
    </row>
    <row r="39">
      <c r="A39" s="5">
        <f>A18</f>
        <v/>
      </c>
      <c r="B39" s="5">
        <f>D17</f>
        <v/>
      </c>
      <c r="E39" s="5">
        <f>F18</f>
        <v/>
      </c>
      <c r="F39" s="5">
        <f>I17</f>
        <v/>
      </c>
      <c r="I39" s="5">
        <f>K18</f>
        <v/>
      </c>
      <c r="J39" s="5">
        <f>N17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9"/>
  <sheetViews>
    <sheetView showGridLines="0"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Dados de sobrevivencia — familia de falha F2</t>
        </is>
      </c>
    </row>
    <row r="2">
      <c r="A2" s="2" t="inlineStr">
        <is>
          <t>Fonte: tools/analysis/data/labeled-runs.csv (tempo_ate_recuperacao_segundos, evento_observado). Dados nao alterados.</t>
        </is>
      </c>
    </row>
    <row r="4">
      <c r="A4" s="3" t="inlineStr">
        <is>
          <t>Dados brutos por braco</t>
        </is>
      </c>
    </row>
    <row r="5">
      <c r="A5" s="4" t="inlineStr">
        <is>
          <t>A tempo_s</t>
        </is>
      </c>
      <c r="B5" s="4" t="inlineStr">
        <is>
          <t>A evento</t>
        </is>
      </c>
      <c r="D5" s="4" t="inlineStr">
        <is>
          <t>B tempo_s</t>
        </is>
      </c>
      <c r="E5" s="4" t="inlineStr">
        <is>
          <t>B evento</t>
        </is>
      </c>
      <c r="G5" s="4" t="inlineStr">
        <is>
          <t>C tempo_s</t>
        </is>
      </c>
      <c r="H5" s="4" t="inlineStr">
        <is>
          <t>C evento</t>
        </is>
      </c>
    </row>
    <row r="6">
      <c r="A6" s="5" t="n">
        <v>35</v>
      </c>
      <c r="B6" s="5" t="n">
        <v>1</v>
      </c>
      <c r="D6" s="5" t="n">
        <v>35</v>
      </c>
      <c r="E6" s="5" t="n">
        <v>1</v>
      </c>
      <c r="G6" s="5" t="n">
        <v>45</v>
      </c>
      <c r="H6" s="5" t="n">
        <v>1</v>
      </c>
    </row>
    <row r="7">
      <c r="A7" s="5" t="n">
        <v>55</v>
      </c>
      <c r="B7" s="5" t="n">
        <v>1</v>
      </c>
      <c r="D7" s="5" t="n">
        <v>55</v>
      </c>
      <c r="E7" s="5" t="n">
        <v>1</v>
      </c>
      <c r="G7" s="5" t="n">
        <v>55</v>
      </c>
      <c r="H7" s="5" t="n">
        <v>1</v>
      </c>
    </row>
    <row r="8">
      <c r="A8" s="5" t="n">
        <v>365</v>
      </c>
      <c r="B8" s="5" t="n">
        <v>1</v>
      </c>
      <c r="D8" s="5" t="n">
        <v>55</v>
      </c>
      <c r="E8" s="5" t="n">
        <v>1</v>
      </c>
      <c r="G8" s="5" t="n">
        <v>70</v>
      </c>
      <c r="H8" s="5" t="n">
        <v>1</v>
      </c>
    </row>
    <row r="9">
      <c r="A9" s="5" t="n">
        <v>405</v>
      </c>
      <c r="B9" s="5" t="n">
        <v>1</v>
      </c>
      <c r="D9" s="5" t="n">
        <v>55</v>
      </c>
      <c r="E9" s="5" t="n">
        <v>1</v>
      </c>
      <c r="G9" s="5" t="n">
        <v>160</v>
      </c>
      <c r="H9" s="5" t="n">
        <v>1</v>
      </c>
    </row>
    <row r="10">
      <c r="A10" s="5" t="n">
        <v>435</v>
      </c>
      <c r="B10" s="5" t="n">
        <v>1</v>
      </c>
      <c r="D10" s="5" t="n">
        <v>130</v>
      </c>
      <c r="E10" s="5" t="n">
        <v>1</v>
      </c>
      <c r="G10" s="5" t="n">
        <v>170</v>
      </c>
      <c r="H10" s="5" t="n">
        <v>1</v>
      </c>
    </row>
    <row r="13">
      <c r="A13" s="3" t="inlineStr">
        <is>
          <t>Estimador de Kaplan-Meier por braco (produto-limite)</t>
        </is>
      </c>
    </row>
    <row r="14">
      <c r="A14" s="2" t="inlineStr">
        <is>
          <t>n_risco = execucoes com tempo &gt;= t ; d_eventos = recuperacoes exatamente em t ; S(t) = S(t anterior) x (1 - d_eventos/n_risco)</t>
        </is>
      </c>
    </row>
    <row r="16">
      <c r="A16" s="4" t="inlineStr">
        <is>
          <t>t (s)</t>
        </is>
      </c>
      <c r="B16" s="4" t="inlineStr">
        <is>
          <t>n_risco</t>
        </is>
      </c>
      <c r="C16" s="4" t="inlineStr">
        <is>
          <t>d_eventos</t>
        </is>
      </c>
      <c r="D16" s="4" t="inlineStr">
        <is>
          <t>S(t)</t>
        </is>
      </c>
      <c r="F16" s="4" t="inlineStr">
        <is>
          <t>t (s)</t>
        </is>
      </c>
      <c r="G16" s="4" t="inlineStr">
        <is>
          <t>n_risco</t>
        </is>
      </c>
      <c r="H16" s="4" t="inlineStr">
        <is>
          <t>d_eventos</t>
        </is>
      </c>
      <c r="I16" s="4" t="inlineStr">
        <is>
          <t>S(t)</t>
        </is>
      </c>
      <c r="K16" s="4" t="inlineStr">
        <is>
          <t>t (s)</t>
        </is>
      </c>
      <c r="L16" s="4" t="inlineStr">
        <is>
          <t>n_risco</t>
        </is>
      </c>
      <c r="M16" s="4" t="inlineStr">
        <is>
          <t>d_eventos</t>
        </is>
      </c>
      <c r="N16" s="4" t="inlineStr">
        <is>
          <t>S(t)</t>
        </is>
      </c>
    </row>
    <row r="17">
      <c r="A17" s="5" t="n">
        <v>0</v>
      </c>
      <c r="B17" s="5" t="n"/>
      <c r="C17" s="5" t="n"/>
      <c r="D17" s="5" t="n">
        <v>1</v>
      </c>
      <c r="F17" s="5" t="n">
        <v>0</v>
      </c>
      <c r="G17" s="5" t="n"/>
      <c r="H17" s="5" t="n"/>
      <c r="I17" s="5" t="n">
        <v>1</v>
      </c>
      <c r="K17" s="5" t="n">
        <v>0</v>
      </c>
      <c r="L17" s="5" t="n"/>
      <c r="M17" s="5" t="n"/>
      <c r="N17" s="5" t="n">
        <v>1</v>
      </c>
    </row>
    <row r="18">
      <c r="A18" s="5" t="n">
        <v>35</v>
      </c>
      <c r="B18" s="5">
        <f>COUNTIFS(A6:A10,"&gt;="&amp;A18)</f>
        <v/>
      </c>
      <c r="C18" s="5">
        <f>COUNTIFS(A6:A10,A18,B6:B10,1)</f>
        <v/>
      </c>
      <c r="D18" s="5">
        <f>D17*(1-C18/B18)</f>
        <v/>
      </c>
      <c r="F18" s="5" t="n">
        <v>35</v>
      </c>
      <c r="G18" s="5">
        <f>COUNTIFS(D6:D10,"&gt;="&amp;F18)</f>
        <v/>
      </c>
      <c r="H18" s="5">
        <f>COUNTIFS(D6:D10,F18,E6:E10,1)</f>
        <v/>
      </c>
      <c r="I18" s="5">
        <f>I17*(1-H18/G18)</f>
        <v/>
      </c>
      <c r="K18" s="5" t="n">
        <v>45</v>
      </c>
      <c r="L18" s="5">
        <f>COUNTIFS(G6:G10,"&gt;="&amp;K18)</f>
        <v/>
      </c>
      <c r="M18" s="5">
        <f>COUNTIFS(G6:G10,K18,H6:H10,1)</f>
        <v/>
      </c>
      <c r="N18" s="5">
        <f>N17*(1-M18/L18)</f>
        <v/>
      </c>
    </row>
    <row r="19">
      <c r="A19" s="5" t="n">
        <v>55</v>
      </c>
      <c r="B19" s="5">
        <f>COUNTIFS(A6:A10,"&gt;="&amp;A19)</f>
        <v/>
      </c>
      <c r="C19" s="5">
        <f>COUNTIFS(A6:A10,A19,B6:B10,1)</f>
        <v/>
      </c>
      <c r="D19" s="5">
        <f>D18*(1-C19/B19)</f>
        <v/>
      </c>
      <c r="F19" s="5" t="n">
        <v>55</v>
      </c>
      <c r="G19" s="5">
        <f>COUNTIFS(D6:D10,"&gt;="&amp;F19)</f>
        <v/>
      </c>
      <c r="H19" s="5">
        <f>COUNTIFS(D6:D10,F19,E6:E10,1)</f>
        <v/>
      </c>
      <c r="I19" s="5">
        <f>I18*(1-H19/G19)</f>
        <v/>
      </c>
      <c r="K19" s="5" t="n">
        <v>55</v>
      </c>
      <c r="L19" s="5">
        <f>COUNTIFS(G6:G10,"&gt;="&amp;K19)</f>
        <v/>
      </c>
      <c r="M19" s="5">
        <f>COUNTIFS(G6:G10,K19,H6:H10,1)</f>
        <v/>
      </c>
      <c r="N19" s="5">
        <f>N18*(1-M19/L19)</f>
        <v/>
      </c>
    </row>
    <row r="20">
      <c r="A20" s="5" t="n">
        <v>365</v>
      </c>
      <c r="B20" s="5">
        <f>COUNTIFS(A6:A10,"&gt;="&amp;A20)</f>
        <v/>
      </c>
      <c r="C20" s="5">
        <f>COUNTIFS(A6:A10,A20,B6:B10,1)</f>
        <v/>
      </c>
      <c r="D20" s="5">
        <f>D19*(1-C20/B20)</f>
        <v/>
      </c>
      <c r="F20" s="5" t="n">
        <v>130</v>
      </c>
      <c r="G20" s="5">
        <f>COUNTIFS(D6:D10,"&gt;="&amp;F20)</f>
        <v/>
      </c>
      <c r="H20" s="5">
        <f>COUNTIFS(D6:D10,F20,E6:E10,1)</f>
        <v/>
      </c>
      <c r="I20" s="5">
        <f>I19*(1-H20/G20)</f>
        <v/>
      </c>
      <c r="K20" s="5" t="n">
        <v>70</v>
      </c>
      <c r="L20" s="5">
        <f>COUNTIFS(G6:G10,"&gt;="&amp;K20)</f>
        <v/>
      </c>
      <c r="M20" s="5">
        <f>COUNTIFS(G6:G10,K20,H6:H10,1)</f>
        <v/>
      </c>
      <c r="N20" s="5">
        <f>N19*(1-M20/L20)</f>
        <v/>
      </c>
    </row>
    <row r="21">
      <c r="A21" s="5" t="n">
        <v>405</v>
      </c>
      <c r="B21" s="5">
        <f>COUNTIFS(A6:A10,"&gt;="&amp;A21)</f>
        <v/>
      </c>
      <c r="C21" s="5">
        <f>COUNTIFS(A6:A10,A21,B6:B10,1)</f>
        <v/>
      </c>
      <c r="D21" s="5">
        <f>D20*(1-C21/B21)</f>
        <v/>
      </c>
      <c r="F21" s="5" t="n">
        <v>600</v>
      </c>
      <c r="G21" s="5" t="n"/>
      <c r="H21" s="5" t="n"/>
      <c r="I21" s="5">
        <f>I20</f>
        <v/>
      </c>
      <c r="K21" s="5" t="n">
        <v>160</v>
      </c>
      <c r="L21" s="5">
        <f>COUNTIFS(G6:G10,"&gt;="&amp;K21)</f>
        <v/>
      </c>
      <c r="M21" s="5">
        <f>COUNTIFS(G6:G10,K21,H6:H10,1)</f>
        <v/>
      </c>
      <c r="N21" s="5">
        <f>N20*(1-M21/L21)</f>
        <v/>
      </c>
    </row>
    <row r="22">
      <c r="A22" s="5" t="n">
        <v>435</v>
      </c>
      <c r="B22" s="5">
        <f>COUNTIFS(A6:A10,"&gt;="&amp;A22)</f>
        <v/>
      </c>
      <c r="C22" s="5">
        <f>COUNTIFS(A6:A10,A22,B6:B10,1)</f>
        <v/>
      </c>
      <c r="D22" s="5">
        <f>D21*(1-C22/B22)</f>
        <v/>
      </c>
      <c r="K22" s="5" t="n">
        <v>170</v>
      </c>
      <c r="L22" s="5">
        <f>COUNTIFS(G6:G10,"&gt;="&amp;K22)</f>
        <v/>
      </c>
      <c r="M22" s="5">
        <f>COUNTIFS(G6:G10,K22,H6:H10,1)</f>
        <v/>
      </c>
      <c r="N22" s="5">
        <f>N21*(1-M22/L22)</f>
        <v/>
      </c>
    </row>
    <row r="23">
      <c r="A23" s="5" t="n">
        <v>600</v>
      </c>
      <c r="B23" s="5" t="n"/>
      <c r="C23" s="5" t="n"/>
      <c r="D23" s="5">
        <f>D22</f>
        <v/>
      </c>
      <c r="K23" s="5" t="n">
        <v>600</v>
      </c>
      <c r="L23" s="5" t="n"/>
      <c r="M23" s="5" t="n"/>
      <c r="N23" s="5">
        <f>N22</f>
        <v/>
      </c>
    </row>
    <row r="35">
      <c r="A35" s="3" t="inlineStr">
        <is>
          <t>Pontos para o grafico (escada) — cada valor referencia a tabela acima por formula</t>
        </is>
      </c>
    </row>
    <row r="37">
      <c r="A37" s="4" t="inlineStr">
        <is>
          <t>A t</t>
        </is>
      </c>
      <c r="B37" s="4" t="inlineStr">
        <is>
          <t>A S(t)</t>
        </is>
      </c>
      <c r="E37" s="4" t="inlineStr">
        <is>
          <t>B t</t>
        </is>
      </c>
      <c r="F37" s="4" t="inlineStr">
        <is>
          <t>B S(t)</t>
        </is>
      </c>
      <c r="I37" s="4" t="inlineStr">
        <is>
          <t>C t</t>
        </is>
      </c>
      <c r="J37" s="4" t="inlineStr">
        <is>
          <t>C S(t)</t>
        </is>
      </c>
    </row>
    <row r="38">
      <c r="A38" s="5">
        <f>A17</f>
        <v/>
      </c>
      <c r="B38" s="5">
        <f>D17</f>
        <v/>
      </c>
      <c r="E38" s="5">
        <f>F17</f>
        <v/>
      </c>
      <c r="F38" s="5">
        <f>I17</f>
        <v/>
      </c>
      <c r="I38" s="5">
        <f>K17</f>
        <v/>
      </c>
      <c r="J38" s="5">
        <f>N17</f>
        <v/>
      </c>
    </row>
    <row r="39">
      <c r="A39" s="5">
        <f>A18</f>
        <v/>
      </c>
      <c r="B39" s="5">
        <f>D17</f>
        <v/>
      </c>
      <c r="E39" s="5">
        <f>F18</f>
        <v/>
      </c>
      <c r="F39" s="5">
        <f>I17</f>
        <v/>
      </c>
      <c r="I39" s="5">
        <f>K18</f>
        <v/>
      </c>
      <c r="J39" s="5">
        <f>N17</f>
        <v/>
      </c>
    </row>
    <row r="40">
      <c r="A40" s="5">
        <f>A18</f>
        <v/>
      </c>
      <c r="B40" s="5">
        <f>D18</f>
        <v/>
      </c>
      <c r="E40" s="5">
        <f>F18</f>
        <v/>
      </c>
      <c r="F40" s="5">
        <f>I18</f>
        <v/>
      </c>
      <c r="I40" s="5">
        <f>K18</f>
        <v/>
      </c>
      <c r="J40" s="5">
        <f>N18</f>
        <v/>
      </c>
    </row>
    <row r="41">
      <c r="A41" s="5">
        <f>A19</f>
        <v/>
      </c>
      <c r="B41" s="5">
        <f>D18</f>
        <v/>
      </c>
      <c r="E41" s="5">
        <f>F19</f>
        <v/>
      </c>
      <c r="F41" s="5">
        <f>I18</f>
        <v/>
      </c>
      <c r="I41" s="5">
        <f>K19</f>
        <v/>
      </c>
      <c r="J41" s="5">
        <f>N18</f>
        <v/>
      </c>
    </row>
    <row r="42">
      <c r="A42" s="5">
        <f>A19</f>
        <v/>
      </c>
      <c r="B42" s="5">
        <f>D19</f>
        <v/>
      </c>
      <c r="E42" s="5">
        <f>F19</f>
        <v/>
      </c>
      <c r="F42" s="5">
        <f>I19</f>
        <v/>
      </c>
      <c r="I42" s="5">
        <f>K19</f>
        <v/>
      </c>
      <c r="J42" s="5">
        <f>N19</f>
        <v/>
      </c>
    </row>
    <row r="43">
      <c r="A43" s="5">
        <f>A20</f>
        <v/>
      </c>
      <c r="B43" s="5">
        <f>D19</f>
        <v/>
      </c>
      <c r="E43" s="5">
        <f>F20</f>
        <v/>
      </c>
      <c r="F43" s="5">
        <f>I19</f>
        <v/>
      </c>
      <c r="I43" s="5">
        <f>K20</f>
        <v/>
      </c>
      <c r="J43" s="5">
        <f>N19</f>
        <v/>
      </c>
    </row>
    <row r="44">
      <c r="A44" s="5">
        <f>A20</f>
        <v/>
      </c>
      <c r="B44" s="5">
        <f>D20</f>
        <v/>
      </c>
      <c r="E44" s="5">
        <f>F20</f>
        <v/>
      </c>
      <c r="F44" s="5">
        <f>I20</f>
        <v/>
      </c>
      <c r="I44" s="5">
        <f>K20</f>
        <v/>
      </c>
      <c r="J44" s="5">
        <f>N20</f>
        <v/>
      </c>
    </row>
    <row r="45">
      <c r="A45" s="5">
        <f>A21</f>
        <v/>
      </c>
      <c r="B45" s="5">
        <f>D20</f>
        <v/>
      </c>
      <c r="E45" s="5">
        <f>F21</f>
        <v/>
      </c>
      <c r="F45" s="5">
        <f>I20</f>
        <v/>
      </c>
      <c r="I45" s="5">
        <f>K21</f>
        <v/>
      </c>
      <c r="J45" s="5">
        <f>N20</f>
        <v/>
      </c>
    </row>
    <row r="46">
      <c r="A46" s="5">
        <f>A21</f>
        <v/>
      </c>
      <c r="B46" s="5">
        <f>D21</f>
        <v/>
      </c>
      <c r="I46" s="5">
        <f>K21</f>
        <v/>
      </c>
      <c r="J46" s="5">
        <f>N21</f>
        <v/>
      </c>
    </row>
    <row r="47">
      <c r="A47" s="5">
        <f>A22</f>
        <v/>
      </c>
      <c r="B47" s="5">
        <f>D21</f>
        <v/>
      </c>
      <c r="I47" s="5">
        <f>K22</f>
        <v/>
      </c>
      <c r="J47" s="5">
        <f>N21</f>
        <v/>
      </c>
    </row>
    <row r="48">
      <c r="A48" s="5">
        <f>A22</f>
        <v/>
      </c>
      <c r="B48" s="5">
        <f>D22</f>
        <v/>
      </c>
      <c r="I48" s="5">
        <f>K22</f>
        <v/>
      </c>
      <c r="J48" s="5">
        <f>N22</f>
        <v/>
      </c>
    </row>
    <row r="49">
      <c r="A49" s="5">
        <f>A23</f>
        <v/>
      </c>
      <c r="B49" s="5">
        <f>D22</f>
        <v/>
      </c>
      <c r="I49" s="5">
        <f>K23</f>
        <v/>
      </c>
      <c r="J49" s="5">
        <f>N22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0"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Dados de sobrevivencia — familia de falha F3</t>
        </is>
      </c>
    </row>
    <row r="2">
      <c r="A2" s="2" t="inlineStr">
        <is>
          <t>Fonte: tools/analysis/data/labeled-runs.csv (tempo_ate_recuperacao_segundos, evento_observado). Dados nao alterados.</t>
        </is>
      </c>
    </row>
    <row r="4">
      <c r="A4" s="3" t="inlineStr">
        <is>
          <t>Dados brutos por braco</t>
        </is>
      </c>
    </row>
    <row r="5">
      <c r="A5" s="4" t="inlineStr">
        <is>
          <t>A tempo_s</t>
        </is>
      </c>
      <c r="B5" s="4" t="inlineStr">
        <is>
          <t>A evento</t>
        </is>
      </c>
      <c r="D5" s="4" t="inlineStr">
        <is>
          <t>B tempo_s</t>
        </is>
      </c>
      <c r="E5" s="4" t="inlineStr">
        <is>
          <t>B evento</t>
        </is>
      </c>
      <c r="G5" s="4" t="inlineStr">
        <is>
          <t>C tempo_s</t>
        </is>
      </c>
      <c r="H5" s="4" t="inlineStr">
        <is>
          <t>C evento</t>
        </is>
      </c>
    </row>
    <row r="6">
      <c r="A6" s="5" t="n">
        <v>600</v>
      </c>
      <c r="B6" s="5" t="n">
        <v>0</v>
      </c>
      <c r="D6" s="5" t="n">
        <v>600</v>
      </c>
      <c r="E6" s="5" t="n">
        <v>0</v>
      </c>
      <c r="G6" s="5" t="n">
        <v>600</v>
      </c>
      <c r="H6" s="5" t="n">
        <v>0</v>
      </c>
    </row>
    <row r="7">
      <c r="A7" s="5" t="n">
        <v>600</v>
      </c>
      <c r="B7" s="5" t="n">
        <v>0</v>
      </c>
      <c r="D7" s="5" t="n">
        <v>600</v>
      </c>
      <c r="E7" s="5" t="n">
        <v>0</v>
      </c>
      <c r="G7" s="5" t="n">
        <v>600</v>
      </c>
      <c r="H7" s="5" t="n">
        <v>0</v>
      </c>
    </row>
    <row r="8">
      <c r="A8" s="5" t="n">
        <v>600</v>
      </c>
      <c r="B8" s="5" t="n">
        <v>0</v>
      </c>
      <c r="D8" s="5" t="n">
        <v>600</v>
      </c>
      <c r="E8" s="5" t="n">
        <v>0</v>
      </c>
      <c r="G8" s="5" t="n">
        <v>600</v>
      </c>
      <c r="H8" s="5" t="n">
        <v>0</v>
      </c>
    </row>
    <row r="9">
      <c r="A9" s="5" t="n">
        <v>600</v>
      </c>
      <c r="B9" s="5" t="n">
        <v>0</v>
      </c>
      <c r="D9" s="5" t="n">
        <v>600</v>
      </c>
      <c r="E9" s="5" t="n">
        <v>0</v>
      </c>
    </row>
    <row r="10">
      <c r="A10" s="5" t="n">
        <v>600</v>
      </c>
      <c r="B10" s="5" t="n">
        <v>0</v>
      </c>
    </row>
    <row r="13">
      <c r="A13" s="3" t="inlineStr">
        <is>
          <t>Estimador de Kaplan-Meier por braco (produto-limite)</t>
        </is>
      </c>
    </row>
    <row r="14">
      <c r="A14" s="2" t="inlineStr">
        <is>
          <t>n_risco = execucoes com tempo &gt;= t ; d_eventos = recuperacoes exatamente em t ; S(t) = S(t anterior) x (1 - d_eventos/n_risco)</t>
        </is>
      </c>
    </row>
    <row r="16">
      <c r="A16" s="4" t="inlineStr">
        <is>
          <t>t (s)</t>
        </is>
      </c>
      <c r="B16" s="4" t="inlineStr">
        <is>
          <t>n_risco</t>
        </is>
      </c>
      <c r="C16" s="4" t="inlineStr">
        <is>
          <t>d_eventos</t>
        </is>
      </c>
      <c r="D16" s="4" t="inlineStr">
        <is>
          <t>S(t)</t>
        </is>
      </c>
      <c r="F16" s="4" t="inlineStr">
        <is>
          <t>t (s)</t>
        </is>
      </c>
      <c r="G16" s="4" t="inlineStr">
        <is>
          <t>n_risco</t>
        </is>
      </c>
      <c r="H16" s="4" t="inlineStr">
        <is>
          <t>d_eventos</t>
        </is>
      </c>
      <c r="I16" s="4" t="inlineStr">
        <is>
          <t>S(t)</t>
        </is>
      </c>
      <c r="K16" s="4" t="inlineStr">
        <is>
          <t>t (s)</t>
        </is>
      </c>
      <c r="L16" s="4" t="inlineStr">
        <is>
          <t>n_risco</t>
        </is>
      </c>
      <c r="M16" s="4" t="inlineStr">
        <is>
          <t>d_eventos</t>
        </is>
      </c>
      <c r="N16" s="4" t="inlineStr">
        <is>
          <t>S(t)</t>
        </is>
      </c>
    </row>
    <row r="17">
      <c r="A17" s="5" t="n">
        <v>0</v>
      </c>
      <c r="B17" s="5" t="n"/>
      <c r="C17" s="5" t="n"/>
      <c r="D17" s="5" t="n">
        <v>1</v>
      </c>
      <c r="F17" s="5" t="n">
        <v>0</v>
      </c>
      <c r="G17" s="5" t="n"/>
      <c r="H17" s="5" t="n"/>
      <c r="I17" s="5" t="n">
        <v>1</v>
      </c>
      <c r="K17" s="5" t="n">
        <v>0</v>
      </c>
      <c r="L17" s="5" t="n"/>
      <c r="M17" s="5" t="n"/>
      <c r="N17" s="5" t="n">
        <v>1</v>
      </c>
    </row>
    <row r="18">
      <c r="A18" s="5" t="n">
        <v>600</v>
      </c>
      <c r="B18" s="5" t="n"/>
      <c r="C18" s="5" t="n"/>
      <c r="D18" s="5">
        <f>D17</f>
        <v/>
      </c>
      <c r="F18" s="5" t="n">
        <v>600</v>
      </c>
      <c r="G18" s="5" t="n"/>
      <c r="H18" s="5" t="n"/>
      <c r="I18" s="5">
        <f>I17</f>
        <v/>
      </c>
      <c r="K18" s="5" t="n">
        <v>600</v>
      </c>
      <c r="L18" s="5" t="n"/>
      <c r="M18" s="5" t="n"/>
      <c r="N18" s="5">
        <f>N17</f>
        <v/>
      </c>
    </row>
    <row r="35">
      <c r="A35" s="3" t="inlineStr">
        <is>
          <t>Pontos para o grafico (escada) — cada valor referencia a tabela acima por formula</t>
        </is>
      </c>
    </row>
    <row r="37">
      <c r="A37" s="4" t="inlineStr">
        <is>
          <t>A t</t>
        </is>
      </c>
      <c r="B37" s="4" t="inlineStr">
        <is>
          <t>A S(t)</t>
        </is>
      </c>
      <c r="E37" s="4" t="inlineStr">
        <is>
          <t>B t</t>
        </is>
      </c>
      <c r="F37" s="4" t="inlineStr">
        <is>
          <t>B S(t)</t>
        </is>
      </c>
      <c r="I37" s="4" t="inlineStr">
        <is>
          <t>C t</t>
        </is>
      </c>
      <c r="J37" s="4" t="inlineStr">
        <is>
          <t>C S(t)</t>
        </is>
      </c>
    </row>
    <row r="38">
      <c r="A38" s="5">
        <f>A17</f>
        <v/>
      </c>
      <c r="B38" s="5">
        <f>D17</f>
        <v/>
      </c>
      <c r="E38" s="5">
        <f>F17</f>
        <v/>
      </c>
      <c r="F38" s="5">
        <f>I17</f>
        <v/>
      </c>
      <c r="I38" s="5">
        <f>K17</f>
        <v/>
      </c>
      <c r="J38" s="5">
        <f>N17</f>
        <v/>
      </c>
    </row>
    <row r="39">
      <c r="A39" s="5">
        <f>A18</f>
        <v/>
      </c>
      <c r="B39" s="5">
        <f>D17</f>
        <v/>
      </c>
      <c r="E39" s="5">
        <f>F18</f>
        <v/>
      </c>
      <c r="F39" s="5">
        <f>I17</f>
        <v/>
      </c>
      <c r="I39" s="5">
        <f>K18</f>
        <v/>
      </c>
      <c r="J39" s="5">
        <f>N17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5"/>
  <sheetViews>
    <sheetView showGridLines="0"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Dados de sobrevivencia — familia de falha F5</t>
        </is>
      </c>
    </row>
    <row r="2">
      <c r="A2" s="2" t="inlineStr">
        <is>
          <t>Fonte: tools/analysis/data/labeled-runs.csv (tempo_ate_recuperacao_segundos, evento_observado). Dados nao alterados.</t>
        </is>
      </c>
    </row>
    <row r="4">
      <c r="A4" s="3" t="inlineStr">
        <is>
          <t>Dados brutos por braco</t>
        </is>
      </c>
    </row>
    <row r="5">
      <c r="A5" s="4" t="inlineStr">
        <is>
          <t>A tempo_s</t>
        </is>
      </c>
      <c r="B5" s="4" t="inlineStr">
        <is>
          <t>A evento</t>
        </is>
      </c>
      <c r="D5" s="4" t="inlineStr">
        <is>
          <t>B tempo_s</t>
        </is>
      </c>
      <c r="E5" s="4" t="inlineStr">
        <is>
          <t>B evento</t>
        </is>
      </c>
      <c r="G5" s="4" t="inlineStr">
        <is>
          <t>C tempo_s</t>
        </is>
      </c>
      <c r="H5" s="4" t="inlineStr">
        <is>
          <t>C evento</t>
        </is>
      </c>
    </row>
    <row r="6">
      <c r="A6" s="5" t="n">
        <v>23.9004705</v>
      </c>
      <c r="B6" s="5" t="n">
        <v>1</v>
      </c>
      <c r="D6" s="5" t="n">
        <v>0.6191048</v>
      </c>
      <c r="E6" s="5" t="n">
        <v>1</v>
      </c>
      <c r="G6" s="5" t="n">
        <v>23.0823191</v>
      </c>
      <c r="H6" s="5" t="n">
        <v>1</v>
      </c>
    </row>
    <row r="7">
      <c r="A7" s="5" t="n">
        <v>378.1115699</v>
      </c>
      <c r="B7" s="5" t="n">
        <v>1</v>
      </c>
      <c r="D7" s="5" t="n">
        <v>29.0724639</v>
      </c>
      <c r="E7" s="5" t="n">
        <v>1</v>
      </c>
      <c r="G7" s="5" t="n">
        <v>400.9579814</v>
      </c>
      <c r="H7" s="5" t="n">
        <v>1</v>
      </c>
    </row>
    <row r="8">
      <c r="A8" s="5" t="n">
        <v>600</v>
      </c>
      <c r="B8" s="5" t="n">
        <v>0</v>
      </c>
      <c r="D8" s="5" t="n">
        <v>78.2794136</v>
      </c>
      <c r="E8" s="5" t="n">
        <v>1</v>
      </c>
      <c r="G8" s="5" t="n">
        <v>600</v>
      </c>
      <c r="H8" s="5" t="n">
        <v>0</v>
      </c>
    </row>
    <row r="9">
      <c r="A9" s="5" t="n">
        <v>600</v>
      </c>
      <c r="B9" s="5" t="n">
        <v>0</v>
      </c>
      <c r="D9" s="5" t="n">
        <v>600</v>
      </c>
      <c r="E9" s="5" t="n">
        <v>0</v>
      </c>
      <c r="G9" s="5" t="n">
        <v>600</v>
      </c>
      <c r="H9" s="5" t="n">
        <v>0</v>
      </c>
    </row>
    <row r="10">
      <c r="A10" s="5" t="n">
        <v>600</v>
      </c>
      <c r="B10" s="5" t="n">
        <v>0</v>
      </c>
      <c r="D10" s="5" t="n">
        <v>600</v>
      </c>
      <c r="E10" s="5" t="n">
        <v>0</v>
      </c>
      <c r="G10" s="5" t="n">
        <v>600</v>
      </c>
      <c r="H10" s="5" t="n">
        <v>0</v>
      </c>
    </row>
    <row r="13">
      <c r="A13" s="3" t="inlineStr">
        <is>
          <t>Estimador de Kaplan-Meier por braco (produto-limite)</t>
        </is>
      </c>
    </row>
    <row r="14">
      <c r="A14" s="2" t="inlineStr">
        <is>
          <t>n_risco = execucoes com tempo &gt;= t ; d_eventos = recuperacoes exatamente em t ; S(t) = S(t anterior) x (1 - d_eventos/n_risco)</t>
        </is>
      </c>
    </row>
    <row r="16">
      <c r="A16" s="4" t="inlineStr">
        <is>
          <t>t (s)</t>
        </is>
      </c>
      <c r="B16" s="4" t="inlineStr">
        <is>
          <t>n_risco</t>
        </is>
      </c>
      <c r="C16" s="4" t="inlineStr">
        <is>
          <t>d_eventos</t>
        </is>
      </c>
      <c r="D16" s="4" t="inlineStr">
        <is>
          <t>S(t)</t>
        </is>
      </c>
      <c r="F16" s="4" t="inlineStr">
        <is>
          <t>t (s)</t>
        </is>
      </c>
      <c r="G16" s="4" t="inlineStr">
        <is>
          <t>n_risco</t>
        </is>
      </c>
      <c r="H16" s="4" t="inlineStr">
        <is>
          <t>d_eventos</t>
        </is>
      </c>
      <c r="I16" s="4" t="inlineStr">
        <is>
          <t>S(t)</t>
        </is>
      </c>
      <c r="K16" s="4" t="inlineStr">
        <is>
          <t>t (s)</t>
        </is>
      </c>
      <c r="L16" s="4" t="inlineStr">
        <is>
          <t>n_risco</t>
        </is>
      </c>
      <c r="M16" s="4" t="inlineStr">
        <is>
          <t>d_eventos</t>
        </is>
      </c>
      <c r="N16" s="4" t="inlineStr">
        <is>
          <t>S(t)</t>
        </is>
      </c>
    </row>
    <row r="17">
      <c r="A17" s="5" t="n">
        <v>0</v>
      </c>
      <c r="B17" s="5" t="n"/>
      <c r="C17" s="5" t="n"/>
      <c r="D17" s="5" t="n">
        <v>1</v>
      </c>
      <c r="F17" s="5" t="n">
        <v>0</v>
      </c>
      <c r="G17" s="5" t="n"/>
      <c r="H17" s="5" t="n"/>
      <c r="I17" s="5" t="n">
        <v>1</v>
      </c>
      <c r="K17" s="5" t="n">
        <v>0</v>
      </c>
      <c r="L17" s="5" t="n"/>
      <c r="M17" s="5" t="n"/>
      <c r="N17" s="5" t="n">
        <v>1</v>
      </c>
    </row>
    <row r="18">
      <c r="A18" s="5" t="n">
        <v>23.9004705</v>
      </c>
      <c r="B18" s="5">
        <f>COUNTIFS(A6:A10,"&gt;="&amp;A18)</f>
        <v/>
      </c>
      <c r="C18" s="5">
        <f>COUNTIFS(A6:A10,A18,B6:B10,1)</f>
        <v/>
      </c>
      <c r="D18" s="5">
        <f>D17*(1-C18/B18)</f>
        <v/>
      </c>
      <c r="F18" s="5" t="n">
        <v>0.6191048</v>
      </c>
      <c r="G18" s="5">
        <f>COUNTIFS(D6:D10,"&gt;="&amp;F18)</f>
        <v/>
      </c>
      <c r="H18" s="5">
        <f>COUNTIFS(D6:D10,F18,E6:E10,1)</f>
        <v/>
      </c>
      <c r="I18" s="5">
        <f>I17*(1-H18/G18)</f>
        <v/>
      </c>
      <c r="K18" s="5" t="n">
        <v>23.0823191</v>
      </c>
      <c r="L18" s="5">
        <f>COUNTIFS(G6:G10,"&gt;="&amp;K18)</f>
        <v/>
      </c>
      <c r="M18" s="5">
        <f>COUNTIFS(G6:G10,K18,H6:H10,1)</f>
        <v/>
      </c>
      <c r="N18" s="5">
        <f>N17*(1-M18/L18)</f>
        <v/>
      </c>
    </row>
    <row r="19">
      <c r="A19" s="5" t="n">
        <v>378.1115699</v>
      </c>
      <c r="B19" s="5">
        <f>COUNTIFS(A6:A10,"&gt;="&amp;A19)</f>
        <v/>
      </c>
      <c r="C19" s="5">
        <f>COUNTIFS(A6:A10,A19,B6:B10,1)</f>
        <v/>
      </c>
      <c r="D19" s="5">
        <f>D18*(1-C19/B19)</f>
        <v/>
      </c>
      <c r="F19" s="5" t="n">
        <v>29.0724639</v>
      </c>
      <c r="G19" s="5">
        <f>COUNTIFS(D6:D10,"&gt;="&amp;F19)</f>
        <v/>
      </c>
      <c r="H19" s="5">
        <f>COUNTIFS(D6:D10,F19,E6:E10,1)</f>
        <v/>
      </c>
      <c r="I19" s="5">
        <f>I18*(1-H19/G19)</f>
        <v/>
      </c>
      <c r="K19" s="5" t="n">
        <v>400.9579814</v>
      </c>
      <c r="L19" s="5">
        <f>COUNTIFS(G6:G10,"&gt;="&amp;K19)</f>
        <v/>
      </c>
      <c r="M19" s="5">
        <f>COUNTIFS(G6:G10,K19,H6:H10,1)</f>
        <v/>
      </c>
      <c r="N19" s="5">
        <f>N18*(1-M19/L19)</f>
        <v/>
      </c>
    </row>
    <row r="20">
      <c r="A20" s="5" t="n">
        <v>600</v>
      </c>
      <c r="B20" s="5" t="n"/>
      <c r="C20" s="5" t="n"/>
      <c r="D20" s="5">
        <f>D19</f>
        <v/>
      </c>
      <c r="F20" s="5" t="n">
        <v>78.2794136</v>
      </c>
      <c r="G20" s="5">
        <f>COUNTIFS(D6:D10,"&gt;="&amp;F20)</f>
        <v/>
      </c>
      <c r="H20" s="5">
        <f>COUNTIFS(D6:D10,F20,E6:E10,1)</f>
        <v/>
      </c>
      <c r="I20" s="5">
        <f>I19*(1-H20/G20)</f>
        <v/>
      </c>
      <c r="K20" s="5" t="n">
        <v>600</v>
      </c>
      <c r="L20" s="5" t="n"/>
      <c r="M20" s="5" t="n"/>
      <c r="N20" s="5">
        <f>N19</f>
        <v/>
      </c>
    </row>
    <row r="21">
      <c r="F21" s="5" t="n">
        <v>600</v>
      </c>
      <c r="G21" s="5" t="n"/>
      <c r="H21" s="5" t="n"/>
      <c r="I21" s="5">
        <f>I20</f>
        <v/>
      </c>
    </row>
    <row r="35">
      <c r="A35" s="3" t="inlineStr">
        <is>
          <t>Pontos para o grafico (escada) — cada valor referencia a tabela acima por formula</t>
        </is>
      </c>
    </row>
    <row r="37">
      <c r="A37" s="4" t="inlineStr">
        <is>
          <t>A t</t>
        </is>
      </c>
      <c r="B37" s="4" t="inlineStr">
        <is>
          <t>A S(t)</t>
        </is>
      </c>
      <c r="E37" s="4" t="inlineStr">
        <is>
          <t>B t</t>
        </is>
      </c>
      <c r="F37" s="4" t="inlineStr">
        <is>
          <t>B S(t)</t>
        </is>
      </c>
      <c r="I37" s="4" t="inlineStr">
        <is>
          <t>C t</t>
        </is>
      </c>
      <c r="J37" s="4" t="inlineStr">
        <is>
          <t>C S(t)</t>
        </is>
      </c>
    </row>
    <row r="38">
      <c r="A38" s="5">
        <f>A17</f>
        <v/>
      </c>
      <c r="B38" s="5">
        <f>D17</f>
        <v/>
      </c>
      <c r="E38" s="5">
        <f>F17</f>
        <v/>
      </c>
      <c r="F38" s="5">
        <f>I17</f>
        <v/>
      </c>
      <c r="I38" s="5">
        <f>K17</f>
        <v/>
      </c>
      <c r="J38" s="5">
        <f>N17</f>
        <v/>
      </c>
    </row>
    <row r="39">
      <c r="A39" s="5">
        <f>A18</f>
        <v/>
      </c>
      <c r="B39" s="5">
        <f>D17</f>
        <v/>
      </c>
      <c r="E39" s="5">
        <f>F18</f>
        <v/>
      </c>
      <c r="F39" s="5">
        <f>I17</f>
        <v/>
      </c>
      <c r="I39" s="5">
        <f>K18</f>
        <v/>
      </c>
      <c r="J39" s="5">
        <f>N17</f>
        <v/>
      </c>
    </row>
    <row r="40">
      <c r="A40" s="5">
        <f>A18</f>
        <v/>
      </c>
      <c r="B40" s="5">
        <f>D18</f>
        <v/>
      </c>
      <c r="E40" s="5">
        <f>F18</f>
        <v/>
      </c>
      <c r="F40" s="5">
        <f>I18</f>
        <v/>
      </c>
      <c r="I40" s="5">
        <f>K18</f>
        <v/>
      </c>
      <c r="J40" s="5">
        <f>N18</f>
        <v/>
      </c>
    </row>
    <row r="41">
      <c r="A41" s="5">
        <f>A19</f>
        <v/>
      </c>
      <c r="B41" s="5">
        <f>D18</f>
        <v/>
      </c>
      <c r="E41" s="5">
        <f>F19</f>
        <v/>
      </c>
      <c r="F41" s="5">
        <f>I18</f>
        <v/>
      </c>
      <c r="I41" s="5">
        <f>K19</f>
        <v/>
      </c>
      <c r="J41" s="5">
        <f>N18</f>
        <v/>
      </c>
    </row>
    <row r="42">
      <c r="A42" s="5">
        <f>A19</f>
        <v/>
      </c>
      <c r="B42" s="5">
        <f>D19</f>
        <v/>
      </c>
      <c r="E42" s="5">
        <f>F19</f>
        <v/>
      </c>
      <c r="F42" s="5">
        <f>I19</f>
        <v/>
      </c>
      <c r="I42" s="5">
        <f>K19</f>
        <v/>
      </c>
      <c r="J42" s="5">
        <f>N19</f>
        <v/>
      </c>
    </row>
    <row r="43">
      <c r="A43" s="5">
        <f>A20</f>
        <v/>
      </c>
      <c r="B43" s="5">
        <f>D19</f>
        <v/>
      </c>
      <c r="E43" s="5">
        <f>F20</f>
        <v/>
      </c>
      <c r="F43" s="5">
        <f>I19</f>
        <v/>
      </c>
      <c r="I43" s="5">
        <f>K20</f>
        <v/>
      </c>
      <c r="J43" s="5">
        <f>N19</f>
        <v/>
      </c>
    </row>
    <row r="44">
      <c r="E44" s="5">
        <f>F20</f>
        <v/>
      </c>
      <c r="F44" s="5">
        <f>I20</f>
        <v/>
      </c>
    </row>
    <row r="45">
      <c r="E45" s="5">
        <f>F21</f>
        <v/>
      </c>
      <c r="F45" s="5">
        <f>I20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2026-09-24T22:40:03Z</dcterms:created>
  <dcterms:modified xmlns:dcterms="http://purl.org/dc/terms/" xmlns:xsi="http://www.w3.org/2001/XMLSchema-instance" xsi:type="dcterms:W3CDTF">2026-09-24T22:40:03Z</dcterms:modified>
</cp:coreProperties>
</file>